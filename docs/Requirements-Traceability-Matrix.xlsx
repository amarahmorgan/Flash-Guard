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edacademyza-my.sharepoint.com/personal/amarah_morgan_redacademy_co_za/Documents/Desktop/docs/"/>
    </mc:Choice>
  </mc:AlternateContent>
  <xr:revisionPtr revIDLastSave="20" documentId="11_2D75C5C7B68E3D2B8820CE68DB7CE6BDD4146192" xr6:coauthVersionLast="47" xr6:coauthVersionMax="47" xr10:uidLastSave="{69AA2923-169C-4D44-B2EE-BDFB1B1A89CE}"/>
  <bookViews>
    <workbookView xWindow="-120" yWindow="-120" windowWidth="29040" windowHeight="15720" xr2:uid="{00000000-000D-0000-FFFF-FFFF00000000}"/>
  </bookViews>
  <sheets>
    <sheet name="RTM" sheetId="1" r:id="rId1"/>
    <sheet name="Coverage Summary" sheetId="2" r:id="rId2"/>
    <sheet name="Defect Mapping" sheetId="3" r:id="rId3"/>
    <sheet name="Read 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D3" i="2"/>
  <c r="D2" i="2"/>
</calcChain>
</file>

<file path=xl/sharedStrings.xml><?xml version="1.0" encoding="utf-8"?>
<sst xmlns="http://schemas.openxmlformats.org/spreadsheetml/2006/main" count="237" uniqueCount="180">
  <si>
    <t>Requirement ID</t>
  </si>
  <si>
    <t>Requirement / Area</t>
  </si>
  <si>
    <t>Mapped test IDs / artefacts</t>
  </si>
  <si>
    <t>Layer(s)</t>
  </si>
  <si>
    <t>Execution / coverage status</t>
  </si>
  <si>
    <t>Evidence path</t>
  </si>
  <si>
    <t>Defect / limitation link</t>
  </si>
  <si>
    <t>Notes</t>
  </si>
  <si>
    <t>FR-001</t>
  </si>
  <si>
    <t>Web UI Authentication &amp; Session Management</t>
  </si>
  <si>
    <t>UI auth.feature scenarios; WEB_001–WEB_003; mobileAuthentication.feature</t>
  </si>
  <si>
    <t>UI, API, Mobile</t>
  </si>
  <si>
    <t>Partial</t>
  </si>
  <si>
    <t>tests/ui/auth.feature; docs/Flash-Guard-Test-Cases.docx</t>
  </si>
  <si>
    <t>WEB_003 session timeout not triggered; DEF-MOB-007; password change not available</t>
  </si>
  <si>
    <t>Valid and invalid login are covered. Session timeout and password-management acceptance criteria cannot be verified as specified.</t>
  </si>
  <si>
    <t>FR-002</t>
  </si>
  <si>
    <t>Dashboard Display &amp; Real-Time Balance</t>
  </si>
  <si>
    <t>dashboard.feature; mobileDashboard.feature; mobileBalanceHistory.feature; verify-account-balance.sql</t>
  </si>
  <si>
    <t>UI, DB, Mobile</t>
  </si>
  <si>
    <t>tests/ui/dashboard.feature; tests/db/verify-account-balance.sql</t>
  </si>
  <si>
    <t>DEF-UI-004; DEF-UI-005; DEF-MOB-004; DEF-MOB-005</t>
  </si>
  <si>
    <t>Dashboard, balance and transaction visibility are tested. Data quality defects remain open.</t>
  </si>
  <si>
    <t>FR-003</t>
  </si>
  <si>
    <t>Fund Transfer Core Process</t>
  </si>
  <si>
    <t>FundTransfer.feature (8); transfer API collection; verify-recipient-account-is-credited.sql; E2E-001–E2E-006; E2E-011–E2E-013</t>
  </si>
  <si>
    <t>UI, API, DB, Mobile, E2E</t>
  </si>
  <si>
    <t>tests/ui/FundTransfer.feature; tests/api; tests/db; tests/e2e</t>
  </si>
  <si>
    <t>DEF-DB-004 self-transfer; DEF-API-007 concurrency; E2E-013 failed balance update</t>
  </si>
  <si>
    <t>Core flow is broadly covered. Critical integrity and concurrency findings prevent full compliance.</t>
  </si>
  <si>
    <t>FR-004</t>
  </si>
  <si>
    <t>API Contract Validation &amp; Response Schema</t>
  </si>
  <si>
    <t>Postman collections: Authentication and Compliance; Transaction Error Edge Case; capstone tests</t>
  </si>
  <si>
    <t>API</t>
  </si>
  <si>
    <t>tests/api/*.postman_collection.json</t>
  </si>
  <si>
    <t>DEF-API-001 invalid JWT accepted; DEF-API-003 missing authorisation</t>
  </si>
  <si>
    <t>Success and error requests are designed. Security and authorisation controls are non-compliant.</t>
  </si>
  <si>
    <t>FR-005</t>
  </si>
  <si>
    <t>Database Integrity &amp; Consistency</t>
  </si>
  <si>
    <t>14 SQL scripts: balances, audit, compliance, recipients, timestamps, soft delete, concurrency</t>
  </si>
  <si>
    <t>DB, E2E</t>
  </si>
  <si>
    <t>tests/db/*.sql</t>
  </si>
  <si>
    <t>DEF-DB-001 negative balance; DEF-DB-002 missing logout audit</t>
  </si>
  <si>
    <t>Core ledger and integrity checks are present. Full BRD count is not represented by standalone files.</t>
  </si>
  <si>
    <t>FR-006</t>
  </si>
  <si>
    <t>Compliance &amp; Regulatory Checks</t>
  </si>
  <si>
    <t>failed-compliance.sql; verify-compliance-flags.sql; compliance API tests; E2E-007–E2E-010</t>
  </si>
  <si>
    <t>API, DB, E2E</t>
  </si>
  <si>
    <t>tests/db/failed-compliance.sql; tests/api; tests/e2e</t>
  </si>
  <si>
    <t>DEF-DB-003 failed compliance transactions processed</t>
  </si>
  <si>
    <t>Compliance checks are tested; the product finding means the prevention requirement is not satisfied.</t>
  </si>
  <si>
    <t>FR-007</t>
  </si>
  <si>
    <t>Mobile Testing (Android)</t>
  </si>
  <si>
    <t>25 feature scenarios: Authentication 4, Dashboard 3, Transfer 5, Balance/History 4, Notifications 3, Settings 2, Gestures 4</t>
  </si>
  <si>
    <t>Mobile</t>
  </si>
  <si>
    <t>Pass - conditional</t>
  </si>
  <si>
    <t>tests/mobile/mobile/mobile-tests/features; docs/mobile-evidence</t>
  </si>
  <si>
    <t>DEF-MOB-001–DEF-MOB-007</t>
  </si>
  <si>
    <t>Scenario design meets BRD count. Some results require known-issue logging due to absent functionality or unstable accessible elements.</t>
  </si>
  <si>
    <t>FR-008</t>
  </si>
  <si>
    <t>CI/CD Pipeline &amp; Automation</t>
  </si>
  <si>
    <t>ci.yml; docker.yml</t>
  </si>
  <si>
    <t>Infrastructure</t>
  </si>
  <si>
    <t>.github/workflows/ci.yml; .github/workflows/docker.yml</t>
  </si>
  <si>
    <t>No green-run evidence included in final snapshot</t>
  </si>
  <si>
    <t>Workflow configuration is present. Pipeline outcome must be verified in GitHub Actions.</t>
  </si>
  <si>
    <t>FR-009</t>
  </si>
  <si>
    <t>Docker Containerization</t>
  </si>
  <si>
    <t>docker-compose.yml</t>
  </si>
  <si>
    <t>No local/CI execution log retained in final snapshot</t>
  </si>
  <si>
    <t>Compose configuration is present for the app and database stack.</t>
  </si>
  <si>
    <t>FR-010</t>
  </si>
  <si>
    <t>Reporting, Traceability &amp; Metrics</t>
  </si>
  <si>
    <t>Test cases, defect register, mobile evidence, RTM, test strategy, coverage report</t>
  </si>
  <si>
    <t>Documentation</t>
  </si>
  <si>
    <t>Covered</t>
  </si>
  <si>
    <t>docs/</t>
  </si>
  <si>
    <t>N/A</t>
  </si>
  <si>
    <t>Traceability pack created for final submission; statuses distinguish product defects from test implementation limitations.</t>
  </si>
  <si>
    <t>Layer</t>
  </si>
  <si>
    <t>BRD target</t>
  </si>
  <si>
    <t>Repository evidence</t>
  </si>
  <si>
    <t>Computed coverage</t>
  </si>
  <si>
    <t>Status</t>
  </si>
  <si>
    <t>Explanation</t>
  </si>
  <si>
    <t>Coverage Notes</t>
  </si>
  <si>
    <t>Web UI</t>
  </si>
  <si>
    <t>25 Gherkin scenarios in tests/ui; unavailable profile/session behaviour prevents full functional coverage.</t>
  </si>
  <si>
    <t>Metric</t>
  </si>
  <si>
    <t>Value</t>
  </si>
  <si>
    <t>REST API</t>
  </si>
  <si>
    <t>Artefact coverage</t>
  </si>
  <si>
    <t>Database</t>
  </si>
  <si>
    <t>Verified functional coverage</t>
  </si>
  <si>
    <t>Full scenario-count coverage. Product gaps and selector limitations are recorded as conditional/blocked.</t>
  </si>
  <si>
    <t>Transparency rule</t>
  </si>
  <si>
    <t>Blocked/conditional requirements are not counted as clean passes.</t>
  </si>
  <si>
    <t>E2E</t>
  </si>
  <si>
    <t>Three required scenario artefacts exist; compliance scenario remains pending and one balance validation failed.</t>
  </si>
  <si>
    <t>Overall planned layers</t>
  </si>
  <si>
    <t>Defect ID</t>
  </si>
  <si>
    <t>Summary</t>
  </si>
  <si>
    <t>Affected requirement(s)</t>
  </si>
  <si>
    <t>Coverage impact</t>
  </si>
  <si>
    <t>Recommended RTM status</t>
  </si>
  <si>
    <t>DEF-UI-004</t>
  </si>
  <si>
    <t>UI</t>
  </si>
  <si>
    <t>Recent transaction records lack detail</t>
  </si>
  <si>
    <t>Transaction display acceptance not fully compliant</t>
  </si>
  <si>
    <t>DEF-UI-005</t>
  </si>
  <si>
    <t>Incorrect transaction dates displayed</t>
  </si>
  <si>
    <t>Data accuracy requirement not fully compliant</t>
  </si>
  <si>
    <t>DEF-UI-006</t>
  </si>
  <si>
    <t>Profile management functionality missing</t>
  </si>
  <si>
    <t>FR-001 / account management</t>
  </si>
  <si>
    <t>Feature cannot be tested as specified</t>
  </si>
  <si>
    <t>Blocked / Not testable</t>
  </si>
  <si>
    <t>DEF-UI-007</t>
  </si>
  <si>
    <t>Profile icon does not respond</t>
  </si>
  <si>
    <t>DEF-MOB-001</t>
  </si>
  <si>
    <t>Custom airtime amount cannot be entered</t>
  </si>
  <si>
    <t>Mobile service scope</t>
  </si>
  <si>
    <t>Flow limited by UI functionality</t>
  </si>
  <si>
    <t>DEF-MOB-002</t>
  </si>
  <si>
    <t>Airtime purchases fail</t>
  </si>
  <si>
    <t>Core service purchase cannot be verified</t>
  </si>
  <si>
    <t>Failed</t>
  </si>
  <si>
    <t>DEF-MOB-003</t>
  </si>
  <si>
    <t>Data purchases fail</t>
  </si>
  <si>
    <t>DEF-MOB-006</t>
  </si>
  <si>
    <t>Biometric login not working</t>
  </si>
  <si>
    <t>Mobile biometric criterion blocked</t>
  </si>
  <si>
    <t>DEF-MOB-007</t>
  </si>
  <si>
    <t>Session timeout not triggered</t>
  </si>
  <si>
    <t>FR-001 / FR-007</t>
  </si>
  <si>
    <t>Session timeout criterion failed</t>
  </si>
  <si>
    <t>DEF-API-001</t>
  </si>
  <si>
    <t>Invalid JWT token accepted</t>
  </si>
  <si>
    <t>Security contract criterion failed</t>
  </si>
  <si>
    <t>DEF-API-003</t>
  </si>
  <si>
    <t>Authorisation middleware missing</t>
  </si>
  <si>
    <t>Authorisation criterion failed</t>
  </si>
  <si>
    <t>DEF-API-006</t>
  </si>
  <si>
    <t>Direct balance modification endpoint exposed</t>
  </si>
  <si>
    <t>FR-003 / FR-005</t>
  </si>
  <si>
    <t>Balance integrity risk</t>
  </si>
  <si>
    <t>DEF-API-007</t>
  </si>
  <si>
    <t>Transfer authorisation race condition</t>
  </si>
  <si>
    <t>Concurrency criterion at risk</t>
  </si>
  <si>
    <t>DEF-DB-001</t>
  </si>
  <si>
    <t>DB</t>
  </si>
  <si>
    <t>Negative account balance allowed</t>
  </si>
  <si>
    <t>Balance integrity criterion failed</t>
  </si>
  <si>
    <t>DEF-DB-002</t>
  </si>
  <si>
    <t>Logout audit event missing</t>
  </si>
  <si>
    <t>Audit completeness criterion partial</t>
  </si>
  <si>
    <t>DEF-DB-003</t>
  </si>
  <si>
    <t>Failed compliance transactions processed</t>
  </si>
  <si>
    <t>Compliance-prevention criterion failed</t>
  </si>
  <si>
    <t>DEF-DB-004</t>
  </si>
  <si>
    <t>Self-transfer allowed</t>
  </si>
  <si>
    <t>Recipient/sender validation criterion failed</t>
  </si>
  <si>
    <t>Document</t>
  </si>
  <si>
    <t>Purpose</t>
  </si>
  <si>
    <t>Requirements-Traceability Matrix</t>
  </si>
  <si>
    <t>Maps FR-001 to FR-010 to repository test assets, evidence, status and documented product limitations.</t>
  </si>
  <si>
    <t>Coverage Summary</t>
  </si>
  <si>
    <t>Defect Mapping</t>
  </si>
  <si>
    <t>Shows defects that affect requirement status, so the team can distinguish an app issue from an unimplemented test.</t>
  </si>
  <si>
    <t xml:space="preserve">Implemented </t>
  </si>
  <si>
    <t>Implemented</t>
  </si>
  <si>
    <t>Reported in companion Coverage-Analysis</t>
  </si>
  <si>
    <t>30 Postman requests across three collections;Load testing cannot be done as it is not in scope</t>
  </si>
  <si>
    <t>99 / 104 planned items</t>
  </si>
  <si>
    <t xml:space="preserve">16 standalone SQL scripts; and verify failed transactions does not affect balance is untestable </t>
  </si>
  <si>
    <t>Artifact count is a planning indicator only;</t>
  </si>
  <si>
    <t>Compares BRD target counts with repository artefacts.</t>
  </si>
  <si>
    <t>untestable</t>
  </si>
  <si>
    <t>completed</t>
  </si>
  <si>
    <t xml:space="preserve">mostly completed and one untestable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</si>
</sst>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E5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Coverage by Test Layer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BRD target</c:v>
          </c:tx>
          <c:invertIfNegative val="1"/>
          <c:cat>
            <c:strRef>
              <c:f>'Coverage Summary'!$A$2:$A$6</c:f>
              <c:strCache>
                <c:ptCount val="5"/>
                <c:pt idx="0">
                  <c:v>Web UI</c:v>
                </c:pt>
                <c:pt idx="1">
                  <c:v>REST API</c:v>
                </c:pt>
                <c:pt idx="2">
                  <c:v>Database</c:v>
                </c:pt>
                <c:pt idx="3">
                  <c:v>Mobile</c:v>
                </c:pt>
                <c:pt idx="4">
                  <c:v>E2E</c:v>
                </c:pt>
              </c:strCache>
            </c:strRef>
          </c:cat>
          <c:val>
            <c:numRef>
              <c:f>'Coverage Summary'!$B$2:$B$6</c:f>
              <c:numCache>
                <c:formatCode>General</c:formatCode>
                <c:ptCount val="5"/>
                <c:pt idx="0">
                  <c:v>28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E-42A8-93DF-EA5F5B82EC25}"/>
            </c:ext>
          </c:extLst>
        </c:ser>
        <c:ser>
          <c:idx val="1"/>
          <c:order val="1"/>
          <c:tx>
            <c:v>Repository evidence</c:v>
          </c:tx>
          <c:invertIfNegative val="1"/>
          <c:cat>
            <c:strRef>
              <c:f>'Coverage Summary'!$A$2:$A$6</c:f>
              <c:strCache>
                <c:ptCount val="5"/>
                <c:pt idx="0">
                  <c:v>Web UI</c:v>
                </c:pt>
                <c:pt idx="1">
                  <c:v>REST API</c:v>
                </c:pt>
                <c:pt idx="2">
                  <c:v>Database</c:v>
                </c:pt>
                <c:pt idx="3">
                  <c:v>Mobile</c:v>
                </c:pt>
                <c:pt idx="4">
                  <c:v>E2E</c:v>
                </c:pt>
              </c:strCache>
            </c:strRef>
          </c:cat>
          <c:val>
            <c:numRef>
              <c:f>'Coverage Summary'!$C$2:$C$6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16</c:v>
                </c:pt>
                <c:pt idx="3">
                  <c:v>25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E-42A8-93DF-EA5F5B82EC25}"/>
            </c:ext>
          </c:extLst>
        </c:ser>
        <c:ser>
          <c:idx val="2"/>
          <c:order val="2"/>
          <c:tx>
            <c:v>Computed coverage</c:v>
          </c:tx>
          <c:invertIfNegative val="1"/>
          <c:cat>
            <c:strRef>
              <c:f>'Coverage Summary'!$A$2:$A$6</c:f>
              <c:strCache>
                <c:ptCount val="5"/>
                <c:pt idx="0">
                  <c:v>Web UI</c:v>
                </c:pt>
                <c:pt idx="1">
                  <c:v>REST API</c:v>
                </c:pt>
                <c:pt idx="2">
                  <c:v>Database</c:v>
                </c:pt>
                <c:pt idx="3">
                  <c:v>Mobile</c:v>
                </c:pt>
                <c:pt idx="4">
                  <c:v>E2E</c:v>
                </c:pt>
              </c:strCache>
            </c:strRef>
          </c:cat>
          <c:val>
            <c:numRef>
              <c:f>'Coverage Summary'!$D$2:$D$6</c:f>
              <c:numCache>
                <c:formatCode>0%</c:formatCode>
                <c:ptCount val="5"/>
                <c:pt idx="0">
                  <c:v>0.8928571428571429</c:v>
                </c:pt>
                <c:pt idx="1">
                  <c:v>0.967741935483871</c:v>
                </c:pt>
                <c:pt idx="2">
                  <c:v>0.94117647058823528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E-42A8-93DF-EA5F5B82E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1:H11">
  <tableColumns count="8">
    <tableColumn id="1" xr3:uid="{00000000-0010-0000-0000-000001000000}" name="Requirement ID"/>
    <tableColumn id="2" xr3:uid="{00000000-0010-0000-0000-000002000000}" name="Requirement / Area"/>
    <tableColumn id="3" xr3:uid="{00000000-0010-0000-0000-000003000000}" name="Mapped test IDs / artefacts"/>
    <tableColumn id="4" xr3:uid="{00000000-0010-0000-0000-000004000000}" name="Layer(s)"/>
    <tableColumn id="5" xr3:uid="{00000000-0010-0000-0000-000005000000}" name="Execution / coverage status"/>
    <tableColumn id="6" xr3:uid="{00000000-0010-0000-0000-000006000000}" name="Evidence path"/>
    <tableColumn id="7" xr3:uid="{00000000-0010-0000-0000-000007000000}" name="Defect / limitation link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verageTable" displayName="CoverageTable" ref="A1:F7">
  <tableColumns count="6">
    <tableColumn id="1" xr3:uid="{00000000-0010-0000-0100-000001000000}" name="Layer"/>
    <tableColumn id="2" xr3:uid="{00000000-0010-0000-0100-000002000000}" name="BRD target"/>
    <tableColumn id="3" xr3:uid="{00000000-0010-0000-0100-000003000000}" name="Repository evidence"/>
    <tableColumn id="4" xr3:uid="{00000000-0010-0000-0100-000004000000}" name="Computed coverage"/>
    <tableColumn id="5" xr3:uid="{00000000-0010-0000-0100-000005000000}" name="Status"/>
    <tableColumn id="6" xr3:uid="{00000000-0010-0000-0100-000006000000}" name="Explan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fectMapTable" displayName="DefectMapTable" ref="A1:F18">
  <tableColumns count="6">
    <tableColumn id="1" xr3:uid="{00000000-0010-0000-0200-000001000000}" name="Defect ID"/>
    <tableColumn id="2" xr3:uid="{00000000-0010-0000-0200-000002000000}" name="Layer"/>
    <tableColumn id="3" xr3:uid="{00000000-0010-0000-0200-000003000000}" name="Summary"/>
    <tableColumn id="4" xr3:uid="{00000000-0010-0000-0200-000004000000}" name="Affected requirement(s)"/>
    <tableColumn id="5" xr3:uid="{00000000-0010-0000-0200-000005000000}" name="Coverage impact"/>
    <tableColumn id="6" xr3:uid="{00000000-0010-0000-0200-000006000000}" name="Recommended RTM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dMeTable" displayName="ReadMeTable" ref="A1:B4">
  <tableColumns count="2">
    <tableColumn id="1" xr3:uid="{00000000-0010-0000-0300-000001000000}" name="Document"/>
    <tableColumn id="2" xr3:uid="{00000000-0010-0000-0300-000002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93" zoomScaleNormal="93" workbookViewId="0">
      <selection activeCell="A6" sqref="A6"/>
    </sheetView>
  </sheetViews>
  <sheetFormatPr defaultRowHeight="14.25"/>
  <cols>
    <col min="1" max="1" width="15" customWidth="1"/>
    <col min="2" max="2" width="28" customWidth="1"/>
    <col min="3" max="3" width="45" customWidth="1"/>
    <col min="4" max="4" width="20" customWidth="1"/>
    <col min="5" max="5" width="24" customWidth="1"/>
    <col min="6" max="6" width="35" customWidth="1"/>
    <col min="7" max="7" width="34" customWidth="1"/>
    <col min="8" max="8" width="48" customWidth="1"/>
  </cols>
  <sheetData>
    <row r="1" spans="1:8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9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177</v>
      </c>
      <c r="F2" s="3" t="s">
        <v>13</v>
      </c>
      <c r="G2" s="3" t="s">
        <v>14</v>
      </c>
      <c r="H2" s="3" t="s">
        <v>15</v>
      </c>
    </row>
    <row r="3" spans="1:8" ht="69.95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178</v>
      </c>
      <c r="F3" s="3" t="s">
        <v>20</v>
      </c>
      <c r="G3" s="3" t="s">
        <v>21</v>
      </c>
      <c r="H3" s="3" t="s">
        <v>22</v>
      </c>
    </row>
    <row r="4" spans="1:8" ht="69.95" customHeight="1">
      <c r="A4" s="3" t="s">
        <v>23</v>
      </c>
      <c r="B4" s="3" t="s">
        <v>24</v>
      </c>
      <c r="C4" s="3" t="s">
        <v>25</v>
      </c>
      <c r="D4" s="3" t="s">
        <v>26</v>
      </c>
      <c r="E4" s="3" t="s">
        <v>178</v>
      </c>
      <c r="F4" s="3" t="s">
        <v>27</v>
      </c>
      <c r="G4" s="3" t="s">
        <v>28</v>
      </c>
      <c r="H4" s="3" t="s">
        <v>29</v>
      </c>
    </row>
    <row r="5" spans="1:8" ht="69.95" customHeight="1">
      <c r="A5" s="3" t="s">
        <v>30</v>
      </c>
      <c r="B5" s="3" t="s">
        <v>31</v>
      </c>
      <c r="C5" s="3" t="s">
        <v>32</v>
      </c>
      <c r="D5" s="3" t="s">
        <v>33</v>
      </c>
      <c r="E5" s="3" t="s">
        <v>178</v>
      </c>
      <c r="F5" s="3" t="s">
        <v>34</v>
      </c>
      <c r="G5" s="3" t="s">
        <v>35</v>
      </c>
      <c r="H5" s="3" t="s">
        <v>36</v>
      </c>
    </row>
    <row r="6" spans="1:8" ht="69.95" customHeight="1">
      <c r="A6" s="3" t="s">
        <v>37</v>
      </c>
      <c r="B6" s="3" t="s">
        <v>38</v>
      </c>
      <c r="C6" s="3" t="s">
        <v>39</v>
      </c>
      <c r="D6" s="3" t="s">
        <v>40</v>
      </c>
      <c r="E6" s="3" t="s">
        <v>179</v>
      </c>
      <c r="F6" s="3" t="s">
        <v>41</v>
      </c>
      <c r="G6" s="3" t="s">
        <v>42</v>
      </c>
      <c r="H6" s="3" t="s">
        <v>43</v>
      </c>
    </row>
    <row r="7" spans="1:8" ht="69.95" customHeight="1">
      <c r="A7" s="3" t="s">
        <v>44</v>
      </c>
      <c r="B7" s="3" t="s">
        <v>45</v>
      </c>
      <c r="C7" s="3" t="s">
        <v>46</v>
      </c>
      <c r="D7" s="3" t="s">
        <v>47</v>
      </c>
      <c r="E7" s="3" t="s">
        <v>178</v>
      </c>
      <c r="F7" s="3" t="s">
        <v>48</v>
      </c>
      <c r="G7" s="3" t="s">
        <v>49</v>
      </c>
      <c r="H7" s="3" t="s">
        <v>50</v>
      </c>
    </row>
    <row r="8" spans="1:8" ht="69.95" customHeight="1">
      <c r="A8" s="3" t="s">
        <v>51</v>
      </c>
      <c r="B8" s="3" t="s">
        <v>52</v>
      </c>
      <c r="C8" s="3" t="s">
        <v>53</v>
      </c>
      <c r="D8" s="3" t="s">
        <v>54</v>
      </c>
      <c r="E8" s="3" t="s">
        <v>178</v>
      </c>
      <c r="F8" s="3" t="s">
        <v>56</v>
      </c>
      <c r="G8" s="3" t="s">
        <v>57</v>
      </c>
      <c r="H8" s="3" t="s">
        <v>58</v>
      </c>
    </row>
    <row r="9" spans="1:8" ht="69.95" customHeight="1">
      <c r="A9" s="3" t="s">
        <v>59</v>
      </c>
      <c r="B9" s="3" t="s">
        <v>60</v>
      </c>
      <c r="C9" s="3" t="s">
        <v>61</v>
      </c>
      <c r="D9" s="3" t="s">
        <v>62</v>
      </c>
      <c r="E9" s="3" t="s">
        <v>169</v>
      </c>
      <c r="F9" s="3" t="s">
        <v>63</v>
      </c>
      <c r="G9" s="3" t="s">
        <v>64</v>
      </c>
      <c r="H9" s="3" t="s">
        <v>65</v>
      </c>
    </row>
    <row r="10" spans="1:8" ht="69.95" customHeight="1">
      <c r="A10" s="3" t="s">
        <v>66</v>
      </c>
      <c r="B10" s="3" t="s">
        <v>67</v>
      </c>
      <c r="C10" s="3" t="s">
        <v>68</v>
      </c>
      <c r="D10" s="3" t="s">
        <v>62</v>
      </c>
      <c r="E10" s="3" t="s">
        <v>170</v>
      </c>
      <c r="F10" s="3" t="s">
        <v>68</v>
      </c>
      <c r="G10" s="3" t="s">
        <v>69</v>
      </c>
      <c r="H10" s="3" t="s">
        <v>70</v>
      </c>
    </row>
    <row r="11" spans="1:8" ht="69.95" customHeight="1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78</v>
      </c>
    </row>
  </sheetData>
  <conditionalFormatting sqref="E2:E11">
    <cfRule type="expression" dxfId="2" priority="1">
      <formula>ISNUMBER(SEARCH("Pass",E2))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D7" sqref="D7"/>
    </sheetView>
  </sheetViews>
  <sheetFormatPr defaultRowHeight="14.25"/>
  <cols>
    <col min="1" max="1" width="18" customWidth="1"/>
    <col min="2" max="2" width="14" customWidth="1"/>
    <col min="3" max="3" width="20" customWidth="1"/>
    <col min="4" max="4" width="18" customWidth="1"/>
    <col min="5" max="5" width="21" customWidth="1"/>
    <col min="6" max="6" width="54" customWidth="1"/>
    <col min="8" max="11" width="24" customWidth="1"/>
  </cols>
  <sheetData>
    <row r="1" spans="1:11" ht="26.1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H1" s="5" t="s">
        <v>85</v>
      </c>
      <c r="I1" s="5"/>
      <c r="J1" s="5"/>
      <c r="K1" s="5"/>
    </row>
    <row r="2" spans="1:11" ht="30" customHeight="1">
      <c r="A2" s="3" t="s">
        <v>86</v>
      </c>
      <c r="B2" s="3">
        <v>28</v>
      </c>
      <c r="C2" s="3">
        <v>25</v>
      </c>
      <c r="D2" s="4">
        <f t="shared" ref="D2:D7" si="0">C2/B2</f>
        <v>0.8928571428571429</v>
      </c>
      <c r="E2" s="3" t="s">
        <v>12</v>
      </c>
      <c r="F2" s="3" t="s">
        <v>87</v>
      </c>
      <c r="H2" s="2" t="s">
        <v>88</v>
      </c>
      <c r="I2" s="2" t="s">
        <v>89</v>
      </c>
      <c r="J2" s="2"/>
      <c r="K2" s="2"/>
    </row>
    <row r="3" spans="1:11" ht="30" customHeight="1">
      <c r="A3" s="3" t="s">
        <v>90</v>
      </c>
      <c r="B3" s="3">
        <v>31</v>
      </c>
      <c r="C3" s="3">
        <v>30</v>
      </c>
      <c r="D3" s="4">
        <f t="shared" si="0"/>
        <v>0.967741935483871</v>
      </c>
      <c r="E3" s="3" t="s">
        <v>12</v>
      </c>
      <c r="F3" s="3" t="s">
        <v>172</v>
      </c>
      <c r="H3" s="2" t="s">
        <v>91</v>
      </c>
      <c r="I3" s="2" t="s">
        <v>173</v>
      </c>
      <c r="J3" s="2"/>
      <c r="K3" s="2"/>
    </row>
    <row r="4" spans="1:11" ht="30" customHeight="1">
      <c r="A4" s="3" t="s">
        <v>92</v>
      </c>
      <c r="B4" s="3">
        <v>17</v>
      </c>
      <c r="C4" s="3">
        <v>16</v>
      </c>
      <c r="D4" s="4">
        <f t="shared" si="0"/>
        <v>0.94117647058823528</v>
      </c>
      <c r="E4" s="3" t="s">
        <v>12</v>
      </c>
      <c r="F4" s="3" t="s">
        <v>174</v>
      </c>
      <c r="H4" s="2" t="s">
        <v>93</v>
      </c>
      <c r="I4" s="2" t="s">
        <v>171</v>
      </c>
      <c r="J4" s="2"/>
      <c r="K4" s="2"/>
    </row>
    <row r="5" spans="1:11" ht="30" customHeight="1">
      <c r="A5" s="3" t="s">
        <v>54</v>
      </c>
      <c r="B5" s="3">
        <v>25</v>
      </c>
      <c r="C5" s="3">
        <v>25</v>
      </c>
      <c r="D5" s="4">
        <f t="shared" si="0"/>
        <v>1</v>
      </c>
      <c r="E5" s="3" t="s">
        <v>55</v>
      </c>
      <c r="F5" s="3" t="s">
        <v>94</v>
      </c>
      <c r="H5" s="2" t="s">
        <v>95</v>
      </c>
      <c r="I5" s="2" t="s">
        <v>96</v>
      </c>
      <c r="J5" s="2"/>
      <c r="K5" s="2"/>
    </row>
    <row r="6" spans="1:11" ht="54" customHeight="1">
      <c r="A6" s="3" t="s">
        <v>97</v>
      </c>
      <c r="B6" s="3">
        <v>3</v>
      </c>
      <c r="C6" s="3">
        <v>3</v>
      </c>
      <c r="D6" s="4">
        <f t="shared" si="0"/>
        <v>1</v>
      </c>
      <c r="E6" s="3" t="s">
        <v>12</v>
      </c>
      <c r="F6" s="3" t="s">
        <v>98</v>
      </c>
    </row>
    <row r="7" spans="1:11" ht="54" customHeight="1">
      <c r="A7" s="3" t="s">
        <v>99</v>
      </c>
      <c r="B7" s="3">
        <v>104</v>
      </c>
      <c r="C7" s="3">
        <v>99</v>
      </c>
      <c r="D7" s="4">
        <f t="shared" si="0"/>
        <v>0.95192307692307687</v>
      </c>
      <c r="E7" s="3" t="s">
        <v>12</v>
      </c>
      <c r="F7" s="3" t="s">
        <v>175</v>
      </c>
    </row>
  </sheetData>
  <mergeCells count="1">
    <mergeCell ref="H1:K1"/>
  </mergeCells>
  <conditionalFormatting sqref="E2:E7">
    <cfRule type="expression" dxfId="1" priority="1">
      <formula>ISNUMBER(SEARCH("Pass",E2))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defaultRowHeight="14.25"/>
  <cols>
    <col min="1" max="1" width="16" customWidth="1"/>
    <col min="2" max="2" width="14" customWidth="1"/>
    <col min="3" max="3" width="35" customWidth="1"/>
    <col min="4" max="4" width="23" customWidth="1"/>
    <col min="5" max="5" width="32" customWidth="1"/>
    <col min="6" max="6" width="24" customWidth="1"/>
  </cols>
  <sheetData>
    <row r="1" spans="1:6" ht="26.1" customHeight="1">
      <c r="A1" s="1" t="s">
        <v>100</v>
      </c>
      <c r="B1" s="1" t="s">
        <v>79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ht="42" customHeight="1">
      <c r="A2" s="3" t="s">
        <v>105</v>
      </c>
      <c r="B2" s="3" t="s">
        <v>106</v>
      </c>
      <c r="C2" s="3" t="s">
        <v>107</v>
      </c>
      <c r="D2" s="3" t="s">
        <v>16</v>
      </c>
      <c r="E2" s="3" t="s">
        <v>108</v>
      </c>
      <c r="F2" s="3" t="s">
        <v>12</v>
      </c>
    </row>
    <row r="3" spans="1:6" ht="42" customHeight="1">
      <c r="A3" s="3" t="s">
        <v>109</v>
      </c>
      <c r="B3" s="3" t="s">
        <v>106</v>
      </c>
      <c r="C3" s="3" t="s">
        <v>110</v>
      </c>
      <c r="D3" s="3" t="s">
        <v>16</v>
      </c>
      <c r="E3" s="3" t="s">
        <v>111</v>
      </c>
      <c r="F3" s="3" t="s">
        <v>12</v>
      </c>
    </row>
    <row r="4" spans="1:6" ht="42" customHeight="1">
      <c r="A4" s="3" t="s">
        <v>112</v>
      </c>
      <c r="B4" s="3" t="s">
        <v>106</v>
      </c>
      <c r="C4" s="3" t="s">
        <v>113</v>
      </c>
      <c r="D4" s="3" t="s">
        <v>114</v>
      </c>
      <c r="E4" s="3" t="s">
        <v>115</v>
      </c>
      <c r="F4" s="3" t="s">
        <v>116</v>
      </c>
    </row>
    <row r="5" spans="1:6" ht="42" customHeight="1">
      <c r="A5" s="3" t="s">
        <v>117</v>
      </c>
      <c r="B5" s="3" t="s">
        <v>106</v>
      </c>
      <c r="C5" s="3" t="s">
        <v>118</v>
      </c>
      <c r="D5" s="3" t="s">
        <v>114</v>
      </c>
      <c r="E5" s="3" t="s">
        <v>115</v>
      </c>
      <c r="F5" s="3" t="s">
        <v>116</v>
      </c>
    </row>
    <row r="6" spans="1:6" ht="42" customHeight="1">
      <c r="A6" s="3" t="s">
        <v>119</v>
      </c>
      <c r="B6" s="3" t="s">
        <v>54</v>
      </c>
      <c r="C6" s="3" t="s">
        <v>120</v>
      </c>
      <c r="D6" s="3" t="s">
        <v>121</v>
      </c>
      <c r="E6" s="3" t="s">
        <v>122</v>
      </c>
      <c r="F6" s="3" t="s">
        <v>116</v>
      </c>
    </row>
    <row r="7" spans="1:6" ht="42" customHeight="1">
      <c r="A7" s="3" t="s">
        <v>123</v>
      </c>
      <c r="B7" s="3" t="s">
        <v>54</v>
      </c>
      <c r="C7" s="3" t="s">
        <v>124</v>
      </c>
      <c r="D7" s="3" t="s">
        <v>121</v>
      </c>
      <c r="E7" s="3" t="s">
        <v>125</v>
      </c>
      <c r="F7" s="3" t="s">
        <v>126</v>
      </c>
    </row>
    <row r="8" spans="1:6" ht="42" customHeight="1">
      <c r="A8" s="3" t="s">
        <v>127</v>
      </c>
      <c r="B8" s="3" t="s">
        <v>54</v>
      </c>
      <c r="C8" s="3" t="s">
        <v>128</v>
      </c>
      <c r="D8" s="3" t="s">
        <v>121</v>
      </c>
      <c r="E8" s="3" t="s">
        <v>125</v>
      </c>
      <c r="F8" s="3" t="s">
        <v>126</v>
      </c>
    </row>
    <row r="9" spans="1:6" ht="42" customHeight="1">
      <c r="A9" s="3" t="s">
        <v>129</v>
      </c>
      <c r="B9" s="3" t="s">
        <v>54</v>
      </c>
      <c r="C9" s="3" t="s">
        <v>130</v>
      </c>
      <c r="D9" s="3" t="s">
        <v>51</v>
      </c>
      <c r="E9" s="3" t="s">
        <v>131</v>
      </c>
      <c r="F9" s="3" t="s">
        <v>116</v>
      </c>
    </row>
    <row r="10" spans="1:6" ht="42" customHeight="1">
      <c r="A10" s="3" t="s">
        <v>132</v>
      </c>
      <c r="B10" s="3" t="s">
        <v>54</v>
      </c>
      <c r="C10" s="3" t="s">
        <v>133</v>
      </c>
      <c r="D10" s="3" t="s">
        <v>134</v>
      </c>
      <c r="E10" s="3" t="s">
        <v>135</v>
      </c>
      <c r="F10" s="3" t="s">
        <v>126</v>
      </c>
    </row>
    <row r="11" spans="1:6" ht="42" customHeight="1">
      <c r="A11" s="3" t="s">
        <v>136</v>
      </c>
      <c r="B11" s="3" t="s">
        <v>33</v>
      </c>
      <c r="C11" s="3" t="s">
        <v>137</v>
      </c>
      <c r="D11" s="3" t="s">
        <v>30</v>
      </c>
      <c r="E11" s="3" t="s">
        <v>138</v>
      </c>
      <c r="F11" s="3" t="s">
        <v>126</v>
      </c>
    </row>
    <row r="12" spans="1:6" ht="42" customHeight="1">
      <c r="A12" s="3" t="s">
        <v>139</v>
      </c>
      <c r="B12" s="3" t="s">
        <v>33</v>
      </c>
      <c r="C12" s="3" t="s">
        <v>140</v>
      </c>
      <c r="D12" s="3" t="s">
        <v>30</v>
      </c>
      <c r="E12" s="3" t="s">
        <v>141</v>
      </c>
      <c r="F12" s="3" t="s">
        <v>126</v>
      </c>
    </row>
    <row r="13" spans="1:6" ht="42" customHeight="1">
      <c r="A13" s="3" t="s">
        <v>142</v>
      </c>
      <c r="B13" s="3" t="s">
        <v>33</v>
      </c>
      <c r="C13" s="3" t="s">
        <v>143</v>
      </c>
      <c r="D13" s="3" t="s">
        <v>144</v>
      </c>
      <c r="E13" s="3" t="s">
        <v>145</v>
      </c>
      <c r="F13" s="3" t="s">
        <v>126</v>
      </c>
    </row>
    <row r="14" spans="1:6" ht="42" customHeight="1">
      <c r="A14" s="3" t="s">
        <v>146</v>
      </c>
      <c r="B14" s="3" t="s">
        <v>33</v>
      </c>
      <c r="C14" s="3" t="s">
        <v>147</v>
      </c>
      <c r="D14" s="3" t="s">
        <v>23</v>
      </c>
      <c r="E14" s="3" t="s">
        <v>148</v>
      </c>
      <c r="F14" s="3" t="s">
        <v>12</v>
      </c>
    </row>
    <row r="15" spans="1:6" ht="42" customHeight="1">
      <c r="A15" s="3" t="s">
        <v>149</v>
      </c>
      <c r="B15" s="3" t="s">
        <v>150</v>
      </c>
      <c r="C15" s="3" t="s">
        <v>151</v>
      </c>
      <c r="D15" s="3" t="s">
        <v>37</v>
      </c>
      <c r="E15" s="3" t="s">
        <v>152</v>
      </c>
      <c r="F15" s="3" t="s">
        <v>126</v>
      </c>
    </row>
    <row r="16" spans="1:6" ht="42" customHeight="1">
      <c r="A16" s="3" t="s">
        <v>153</v>
      </c>
      <c r="B16" s="3" t="s">
        <v>150</v>
      </c>
      <c r="C16" s="3" t="s">
        <v>154</v>
      </c>
      <c r="D16" s="3" t="s">
        <v>37</v>
      </c>
      <c r="E16" s="3" t="s">
        <v>155</v>
      </c>
      <c r="F16" s="3" t="s">
        <v>12</v>
      </c>
    </row>
    <row r="17" spans="1:6" ht="42" customHeight="1">
      <c r="A17" s="3" t="s">
        <v>156</v>
      </c>
      <c r="B17" s="3" t="s">
        <v>150</v>
      </c>
      <c r="C17" s="3" t="s">
        <v>157</v>
      </c>
      <c r="D17" s="3" t="s">
        <v>44</v>
      </c>
      <c r="E17" s="3" t="s">
        <v>158</v>
      </c>
      <c r="F17" s="3" t="s">
        <v>126</v>
      </c>
    </row>
    <row r="18" spans="1:6" ht="42" customHeight="1">
      <c r="A18" s="3" t="s">
        <v>159</v>
      </c>
      <c r="B18" s="3" t="s">
        <v>150</v>
      </c>
      <c r="C18" s="3" t="s">
        <v>160</v>
      </c>
      <c r="D18" s="3" t="s">
        <v>23</v>
      </c>
      <c r="E18" s="3" t="s">
        <v>161</v>
      </c>
      <c r="F18" s="3" t="s">
        <v>126</v>
      </c>
    </row>
  </sheetData>
  <conditionalFormatting sqref="F2:F18">
    <cfRule type="expression" dxfId="0" priority="1">
      <formula>ISNUMBER(SEARCH("Pass",F2))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G4" sqref="G4"/>
    </sheetView>
  </sheetViews>
  <sheetFormatPr defaultRowHeight="14.25"/>
  <cols>
    <col min="1" max="1" width="30" customWidth="1"/>
    <col min="2" max="2" width="85" customWidth="1"/>
  </cols>
  <sheetData>
    <row r="1" spans="1:2" ht="26.1" customHeight="1">
      <c r="A1" s="1" t="s">
        <v>162</v>
      </c>
      <c r="B1" s="1" t="s">
        <v>163</v>
      </c>
    </row>
    <row r="2" spans="1:2" ht="54" customHeight="1">
      <c r="A2" s="3" t="s">
        <v>164</v>
      </c>
      <c r="B2" s="3" t="s">
        <v>165</v>
      </c>
    </row>
    <row r="3" spans="1:2" ht="54" customHeight="1">
      <c r="A3" s="3" t="s">
        <v>166</v>
      </c>
      <c r="B3" s="3" t="s">
        <v>176</v>
      </c>
    </row>
    <row r="4" spans="1:2" ht="54" customHeight="1">
      <c r="A4" s="3" t="s">
        <v>167</v>
      </c>
      <c r="B4" s="3" t="s">
        <v>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Coverage Summary</vt:lpstr>
      <vt:lpstr>Defect Mapping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Amarah Morgan</cp:lastModifiedBy>
  <dcterms:modified xsi:type="dcterms:W3CDTF">2026-06-23T06:45:18Z</dcterms:modified>
</cp:coreProperties>
</file>